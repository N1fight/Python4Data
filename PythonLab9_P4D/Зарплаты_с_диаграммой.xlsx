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рпл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Распределение зарплаты по отделам</a:t>
            </a:r>
          </a:p>
        </rich>
      </tx>
    </title>
    <plotArea>
      <pieChart>
        <varyColors val="1"/>
        <ser>
          <idx val="0"/>
          <order val="0"/>
          <tx>
            <strRef>
              <f>'Зарплаты'!L2</f>
            </strRef>
          </tx>
          <spPr>
            <a:ln>
              <a:prstDash val="solid"/>
            </a:ln>
          </spPr>
          <cat>
            <numRef>
              <f>'Зарплаты'!$K$3:$K$5</f>
            </numRef>
          </cat>
          <val>
            <numRef>
              <f>'Зарплаты'!$L$3:$L$5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23" customWidth="1" min="4" max="4"/>
    <col width="26" customWidth="1" min="5" max="5"/>
    <col width="22" customWidth="1" min="6" max="6"/>
    <col width="9" customWidth="1" min="7" max="7"/>
    <col width="18" customWidth="1" min="8" max="8"/>
    <col width="22" customWidth="1" min="9" max="9"/>
    <col width="20" customWidth="1" min="11" max="11"/>
    <col width="20" customWidth="1" min="12" max="12"/>
  </cols>
  <sheetData>
    <row r="1">
      <c r="A1" s="2" t="inlineStr">
        <is>
          <t>Таб. номер</t>
        </is>
      </c>
      <c r="B1" s="2" t="inlineStr">
        <is>
          <t>Фамилия</t>
        </is>
      </c>
      <c r="C1" s="2" t="inlineStr">
        <is>
          <t>Отдел</t>
        </is>
      </c>
      <c r="D1" s="2" t="inlineStr">
        <is>
          <t>Сумма по окладу, руб.</t>
        </is>
      </c>
      <c r="E1" s="2" t="inlineStr">
        <is>
          <t>Сумма по надбавкам, руб.</t>
        </is>
      </c>
      <c r="F1" s="2" t="inlineStr">
        <is>
          <t>Сумма зарплаты, руб.</t>
        </is>
      </c>
      <c r="G1" s="2" t="inlineStr">
        <is>
          <t>НДФЛ, %</t>
        </is>
      </c>
      <c r="H1" s="2" t="inlineStr">
        <is>
          <t>Сумма НДФЛ, руб.</t>
        </is>
      </c>
      <c r="I1" s="2" t="inlineStr">
        <is>
          <t>Сумма к выдаче, руб.</t>
        </is>
      </c>
    </row>
    <row r="2">
      <c r="A2" s="2" t="inlineStr">
        <is>
          <t>0002</t>
        </is>
      </c>
      <c r="B2" s="2" t="inlineStr">
        <is>
          <t>Петров П.П.</t>
        </is>
      </c>
      <c r="C2" s="2" t="inlineStr">
        <is>
          <t>Бухгалтерия</t>
        </is>
      </c>
      <c r="D2" s="2" t="n">
        <v>3913.04</v>
      </c>
      <c r="E2" s="2" t="n">
        <v>2608.7</v>
      </c>
      <c r="F2" s="2" t="n">
        <v>6521.74</v>
      </c>
      <c r="G2" s="2" t="inlineStr">
        <is>
          <t>13%</t>
        </is>
      </c>
      <c r="H2" s="2" t="n">
        <v>847.83</v>
      </c>
      <c r="I2" s="2" t="n">
        <v>5673.91</v>
      </c>
      <c r="K2" s="4" t="inlineStr">
        <is>
          <t>Отдел</t>
        </is>
      </c>
      <c r="L2" s="4" t="inlineStr">
        <is>
          <t>Сумма зарплаты</t>
        </is>
      </c>
    </row>
    <row r="3">
      <c r="A3" s="2" t="inlineStr">
        <is>
          <t>0005</t>
        </is>
      </c>
      <c r="B3" s="2" t="inlineStr">
        <is>
          <t>Васин В.В.</t>
        </is>
      </c>
      <c r="C3" s="2" t="inlineStr">
        <is>
          <t>Бухгалтерия</t>
        </is>
      </c>
      <c r="D3" s="2" t="n">
        <v>5934.78</v>
      </c>
      <c r="E3" s="2" t="n">
        <v>913.04</v>
      </c>
      <c r="F3" s="2" t="n">
        <v>6847.82</v>
      </c>
      <c r="G3" s="2" t="inlineStr">
        <is>
          <t>13%</t>
        </is>
      </c>
      <c r="H3" s="2" t="n">
        <v>890.22</v>
      </c>
      <c r="I3" s="2" t="n">
        <v>5957.6</v>
      </c>
      <c r="K3" s="4" t="inlineStr">
        <is>
          <t>Бухгалтерия</t>
        </is>
      </c>
      <c r="L3" s="4" t="n">
        <v>13369.56</v>
      </c>
    </row>
    <row r="4">
      <c r="A4" s="2" t="n"/>
      <c r="B4" s="2" t="n"/>
      <c r="C4" s="2" t="inlineStr">
        <is>
          <t>Бухгалтерия Итого</t>
        </is>
      </c>
      <c r="D4" s="2" t="n">
        <v>9847.82</v>
      </c>
      <c r="E4" s="2" t="n">
        <v>3521.74</v>
      </c>
      <c r="F4" s="2" t="n">
        <v>13369.56</v>
      </c>
      <c r="G4" s="2" t="n"/>
      <c r="H4" s="2" t="n">
        <v>1738.05</v>
      </c>
      <c r="I4" s="2" t="n">
        <v>11631.51</v>
      </c>
      <c r="K4" s="4" t="inlineStr">
        <is>
          <t>Отдел кадров</t>
        </is>
      </c>
      <c r="L4" s="4" t="n">
        <v>28888.07</v>
      </c>
    </row>
    <row r="5">
      <c r="A5" s="2" t="inlineStr">
        <is>
          <t>0001</t>
        </is>
      </c>
      <c r="B5" s="2" t="inlineStr">
        <is>
          <t>Иванов И.И.</t>
        </is>
      </c>
      <c r="C5" s="2" t="inlineStr">
        <is>
          <t>Отдел кадров</t>
        </is>
      </c>
      <c r="D5" s="2" t="n">
        <v>6000</v>
      </c>
      <c r="E5" s="2" t="n">
        <v>4000</v>
      </c>
      <c r="F5" s="2" t="n">
        <v>10000</v>
      </c>
      <c r="G5" s="2" t="inlineStr">
        <is>
          <t>13%</t>
        </is>
      </c>
      <c r="H5" s="2" t="n">
        <v>1300</v>
      </c>
      <c r="I5" s="2" t="n">
        <v>8700</v>
      </c>
      <c r="K5" s="4" t="inlineStr">
        <is>
          <t>Столовая</t>
        </is>
      </c>
      <c r="L5" s="4" t="n">
        <v>9000</v>
      </c>
    </row>
    <row r="6">
      <c r="A6" s="2" t="inlineStr">
        <is>
          <t>0003</t>
        </is>
      </c>
      <c r="B6" s="2" t="inlineStr">
        <is>
          <t>Сидоров С.С.</t>
        </is>
      </c>
      <c r="C6" s="2" t="inlineStr">
        <is>
          <t>Отдел кадров</t>
        </is>
      </c>
      <c r="D6" s="2" t="n">
        <v>5000</v>
      </c>
      <c r="E6" s="2" t="n">
        <v>4500</v>
      </c>
      <c r="F6" s="2" t="n">
        <v>9500</v>
      </c>
      <c r="G6" s="2" t="inlineStr">
        <is>
          <t>13%</t>
        </is>
      </c>
      <c r="H6" s="2" t="n">
        <v>1235</v>
      </c>
      <c r="I6" s="2" t="n">
        <v>8265</v>
      </c>
    </row>
    <row r="7">
      <c r="A7" s="2" t="inlineStr">
        <is>
          <t>0006</t>
        </is>
      </c>
      <c r="B7" s="2" t="inlineStr">
        <is>
          <t>Львов Л.Л.</t>
        </is>
      </c>
      <c r="C7" s="2" t="inlineStr">
        <is>
          <t>Отдел кадров</t>
        </is>
      </c>
      <c r="D7" s="2" t="n">
        <v>4074.07</v>
      </c>
      <c r="E7" s="2" t="n">
        <v>2444.44</v>
      </c>
      <c r="F7" s="2" t="n">
        <v>6518.51</v>
      </c>
      <c r="G7" s="2" t="inlineStr">
        <is>
          <t>13%</t>
        </is>
      </c>
      <c r="H7" s="2" t="n">
        <v>847.41</v>
      </c>
      <c r="I7" s="2" t="n">
        <v>5671.1</v>
      </c>
    </row>
    <row r="8">
      <c r="A8" s="2" t="inlineStr">
        <is>
          <t>0007</t>
        </is>
      </c>
      <c r="B8" s="2" t="inlineStr">
        <is>
          <t>Волков В.В.</t>
        </is>
      </c>
      <c r="C8" s="2" t="inlineStr">
        <is>
          <t>Отдел кадров</t>
        </is>
      </c>
      <c r="D8" s="2" t="n">
        <v>1434.78</v>
      </c>
      <c r="E8" s="2" t="n">
        <v>1434.78</v>
      </c>
      <c r="F8" s="2" t="n">
        <v>2869.56</v>
      </c>
      <c r="G8" s="2" t="inlineStr">
        <is>
          <t>13%</t>
        </is>
      </c>
      <c r="H8" s="2" t="n">
        <v>373.04</v>
      </c>
      <c r="I8" s="2" t="n">
        <v>2496.52</v>
      </c>
    </row>
    <row r="9">
      <c r="A9" s="2" t="n"/>
      <c r="B9" s="2" t="n"/>
      <c r="C9" s="2" t="inlineStr">
        <is>
          <t>Отдел кадров Итого</t>
        </is>
      </c>
      <c r="D9" s="2" t="n">
        <v>16508.85</v>
      </c>
      <c r="E9" s="2" t="n">
        <v>12379.22</v>
      </c>
      <c r="F9" s="2" t="n">
        <v>28888.07</v>
      </c>
      <c r="G9" s="2" t="n"/>
      <c r="H9" s="2" t="n">
        <v>3755.45</v>
      </c>
      <c r="I9" s="2" t="n">
        <v>25132.62</v>
      </c>
    </row>
    <row r="10">
      <c r="A10" s="2" t="inlineStr">
        <is>
          <t>0004</t>
        </is>
      </c>
      <c r="B10" s="2" t="inlineStr">
        <is>
          <t>Мишин М.М.</t>
        </is>
      </c>
      <c r="C10" s="2" t="inlineStr">
        <is>
          <t>Столовая</t>
        </is>
      </c>
      <c r="D10" s="2" t="n">
        <v>5500</v>
      </c>
      <c r="E10" s="2" t="n">
        <v>3500</v>
      </c>
      <c r="F10" s="2" t="n">
        <v>9000</v>
      </c>
      <c r="G10" s="2" t="inlineStr">
        <is>
          <t>13%</t>
        </is>
      </c>
      <c r="H10" s="2" t="n">
        <v>1170</v>
      </c>
      <c r="I10" s="2" t="n">
        <v>7830</v>
      </c>
    </row>
    <row r="11">
      <c r="A11" s="2" t="n"/>
      <c r="B11" s="2" t="n"/>
      <c r="C11" s="2" t="inlineStr">
        <is>
          <t>Столовая Итого</t>
        </is>
      </c>
      <c r="D11" s="2" t="n">
        <v>5500</v>
      </c>
      <c r="E11" s="2" t="n">
        <v>3500</v>
      </c>
      <c r="F11" s="2" t="n">
        <v>9000</v>
      </c>
      <c r="G11" s="2" t="n"/>
      <c r="H11" s="2" t="n">
        <v>1170</v>
      </c>
      <c r="I11" s="2" t="n">
        <v>7830</v>
      </c>
    </row>
    <row r="12">
      <c r="A12" s="2" t="n"/>
      <c r="B12" s="2" t="n"/>
      <c r="C12" s="2" t="inlineStr">
        <is>
          <t>Общий итог</t>
        </is>
      </c>
      <c r="D12" s="2" t="n">
        <v>31856.67</v>
      </c>
      <c r="E12" s="2" t="n">
        <v>19400.96</v>
      </c>
      <c r="F12" s="2" t="n">
        <v>51257.63</v>
      </c>
      <c r="G12" s="2" t="n"/>
      <c r="H12" s="2" t="n">
        <v>6663.5</v>
      </c>
      <c r="I12" s="2" t="n">
        <v>44594.13</v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3" t="inlineStr">
        <is>
          <t>Показатель</t>
        </is>
      </c>
      <c r="C14" s="3" t="inlineStr">
        <is>
          <t>Значение</t>
        </is>
      </c>
      <c r="D14" s="2" t="n"/>
      <c r="E14" s="2" t="n"/>
      <c r="F14" s="2" t="n"/>
      <c r="G14" s="2" t="n"/>
      <c r="H14" s="2" t="n"/>
      <c r="I14" s="2" t="n"/>
    </row>
    <row r="15">
      <c r="A15" s="2" t="n"/>
      <c r="B15" s="2" t="inlineStr">
        <is>
          <t>Максимальная зарплата:</t>
        </is>
      </c>
      <c r="C15" s="2" t="inlineStr">
        <is>
          <t>Иванов И.И. - 10000 руб.</t>
        </is>
      </c>
      <c r="D15" s="2" t="n"/>
      <c r="E15" s="2" t="n"/>
      <c r="F15" s="2" t="n"/>
      <c r="G15" s="2" t="n"/>
      <c r="H15" s="2" t="n"/>
      <c r="I15" s="2" t="n"/>
    </row>
    <row r="16">
      <c r="A16" s="2" t="n"/>
      <c r="B16" s="2" t="inlineStr">
        <is>
          <t>Минимальная зарплата:</t>
        </is>
      </c>
      <c r="C16" s="2" t="inlineStr">
        <is>
          <t>Волков В.В. - 2869.56 руб.</t>
        </is>
      </c>
      <c r="D16" s="2" t="n"/>
      <c r="E16" s="2" t="n"/>
      <c r="F16" s="2" t="n"/>
      <c r="G16" s="2" t="n"/>
      <c r="H16" s="2" t="n"/>
      <c r="I16" s="2" t="n"/>
    </row>
    <row r="17">
      <c r="A17" s="2" t="n"/>
      <c r="B17" s="3" t="inlineStr">
        <is>
          <t>Средняя зарплата по отделам: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3" t="inlineStr">
        <is>
          <t>Отдел</t>
        </is>
      </c>
      <c r="C18" s="3" t="inlineStr">
        <is>
          <t>Средняя зарплата</t>
        </is>
      </c>
      <c r="D18" s="2" t="n"/>
      <c r="E18" s="2" t="n"/>
      <c r="F18" s="2" t="n"/>
      <c r="G18" s="2" t="n"/>
      <c r="H18" s="2" t="n"/>
      <c r="I18" s="2" t="n"/>
    </row>
    <row r="19">
      <c r="A19" s="2" t="n"/>
      <c r="B19" s="2" t="inlineStr">
        <is>
          <t>Бухгалтерия</t>
        </is>
      </c>
      <c r="C19" s="2" t="inlineStr">
        <is>
          <t>6684.78 руб.</t>
        </is>
      </c>
      <c r="D19" s="2" t="n"/>
      <c r="E19" s="2" t="n"/>
      <c r="F19" s="2" t="n"/>
      <c r="G19" s="2" t="n"/>
      <c r="H19" s="2" t="n"/>
      <c r="I19" s="2" t="n"/>
    </row>
    <row r="20">
      <c r="A20" s="2" t="n"/>
      <c r="B20" s="2" t="inlineStr">
        <is>
          <t>Отдел кадров</t>
        </is>
      </c>
      <c r="C20" s="2" t="inlineStr">
        <is>
          <t>7222.02 руб.</t>
        </is>
      </c>
      <c r="D20" s="2" t="n"/>
      <c r="E20" s="2" t="n"/>
      <c r="F20" s="2" t="n"/>
      <c r="G20" s="2" t="n"/>
      <c r="H20" s="2" t="n"/>
      <c r="I20" s="2" t="n"/>
    </row>
    <row r="21">
      <c r="A21" s="2" t="n"/>
      <c r="B21" s="2" t="inlineStr">
        <is>
          <t>Столовая</t>
        </is>
      </c>
      <c r="C21" s="2" t="inlineStr">
        <is>
          <t>9000.0 руб.</t>
        </is>
      </c>
      <c r="D21" s="2" t="n"/>
      <c r="E21" s="2" t="n"/>
      <c r="F21" s="2" t="n"/>
      <c r="G21" s="2" t="n"/>
      <c r="H21" s="2" t="n"/>
      <c r="I21" s="2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2024-12-25T09:01:13Z</dcterms:created>
  <dcterms:modified xsi:type="dcterms:W3CDTF">2024-12-25T09:32:22Z</dcterms:modified>
</cp:coreProperties>
</file>